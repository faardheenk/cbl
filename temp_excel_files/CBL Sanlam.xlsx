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brokersltdmu.sharepoint.com/sites/Accounts/Shared Documents/INSURERS/STATEMENTS &amp; RECONS/2024-2025/Reconciliation 30.06.2025/FRCI/Sanlam/"/>
    </mc:Choice>
  </mc:AlternateContent>
  <xr:revisionPtr revIDLastSave="0" documentId="8_{5E5EB16B-0B24-42F1-B3EA-5DAA704786C3}" xr6:coauthVersionLast="47" xr6:coauthVersionMax="47" xr10:uidLastSave="{00000000-0000-0000-0000-000000000000}"/>
  <bookViews>
    <workbookView xWindow="28680" yWindow="-120" windowWidth="29040" windowHeight="15720" xr2:uid="{39803825-11C7-4E50-BAEF-7F882B139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N45" i="1"/>
</calcChain>
</file>

<file path=xl/sharedStrings.xml><?xml version="1.0" encoding="utf-8"?>
<sst xmlns="http://schemas.openxmlformats.org/spreadsheetml/2006/main" count="310" uniqueCount="149">
  <si>
    <t xml:space="preserve">Statement of accounts as at </t>
  </si>
  <si>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</si>
  <si>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</si>
  <si>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</si>
  <si>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</si>
  <si>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</si>
  <si>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</si>
  <si>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</si>
  <si>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</si>
  <si>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</si>
  <si>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</si>
  <si>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</si>
  <si>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</si>
  <si>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</si>
  <si>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</si>
  <si>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</si>
  <si>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</si>
  <si>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</si>
  <si>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</si>
  <si>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Month Closed</t>
  </si>
  <si>
    <t>Insurance Type</t>
  </si>
  <si>
    <t>SANLAM GENERAL INSURANCE LTD</t>
  </si>
  <si>
    <t>MUR</t>
  </si>
  <si>
    <t/>
  </si>
  <si>
    <t>DEFECTS INSURANCE</t>
  </si>
  <si>
    <t>POL-DEF-Feb-23-1001</t>
  </si>
  <si>
    <t>KI SIGNATURE VILLAS LTD &amp;/OR SUBSEQUENT OWNERS</t>
  </si>
  <si>
    <t>31-01-2024 to 31-01-2034</t>
  </si>
  <si>
    <t>POL-DEF-May-23-1012</t>
  </si>
  <si>
    <t>BLUE GREEN SIGNATURE CO LTD AND THE SUBSEQUENT OWNERS</t>
  </si>
  <si>
    <t>PY52706092023000011</t>
  </si>
  <si>
    <t>01-12-2024 to 01-12-2034</t>
  </si>
  <si>
    <t>POL-DEF-May-23-1013</t>
  </si>
  <si>
    <t>AZURI SMART CITY COMPANY LTD &amp;/OR SUBSEQUENT OWNERS</t>
  </si>
  <si>
    <t>01-01-2025 to 01-01-2035</t>
  </si>
  <si>
    <t>MARINE HULL &amp; TPL</t>
  </si>
  <si>
    <t>POL-CAR-TPL-Jul-23-1052</t>
  </si>
  <si>
    <t>TAMARIN SAVANNAH LTD &amp;/OR CONTRACTORS &amp;/OR SUB CONTRACTORS</t>
  </si>
  <si>
    <t>PY52706012023000023</t>
  </si>
  <si>
    <t>01-03-2024 to 01-09-2025</t>
  </si>
  <si>
    <t>CAR &amp; TPL</t>
  </si>
  <si>
    <t>POL-DEF-Jul-23-1022</t>
  </si>
  <si>
    <t>TAMARIN SAVANNAH LTD &amp;/OR SUBSEQUENT OWNERS</t>
  </si>
  <si>
    <t>01-04-2025 to 01-04-2035</t>
  </si>
  <si>
    <t>POL-DEF-Jul-23-1023</t>
  </si>
  <si>
    <t>POL-DEF-Jul-23-1024</t>
  </si>
  <si>
    <t>01-09-2025 to 01-09-2035</t>
  </si>
  <si>
    <t>TAYELAMAY &amp; SONS ENTERPRISE LTD &amp;/OR NEW SOCIAL LIVING DEVELOPMENT LTD &amp;/OR SUB CONTRACTORS FOR THEIR RESPECTIVE RIGHTS AND INTERESTS</t>
  </si>
  <si>
    <t>POL-CAR-TPL-Sep-23-1059</t>
  </si>
  <si>
    <t>PY52706012023000013</t>
  </si>
  <si>
    <t>POL-CAR-TPL-Sep-23-1060</t>
  </si>
  <si>
    <t>.</t>
  </si>
  <si>
    <t>POL-DEF-Oct-23-1025</t>
  </si>
  <si>
    <t>WESTBYMJ LTD &amp;/OR SUBSEQUENT OWNERS,</t>
  </si>
  <si>
    <t>01-07-2024 to 01-07-2034</t>
  </si>
  <si>
    <t>POL-DEF-Oct-23-1026</t>
  </si>
  <si>
    <t>01-01-2026 to 01-01-2036</t>
  </si>
  <si>
    <t>POL-DEF-Oct-23-1027</t>
  </si>
  <si>
    <t>04-12-2024 to 04-12-2034</t>
  </si>
  <si>
    <t>POL-DEF-May-24-1006</t>
  </si>
  <si>
    <t>01-10-2025 to 01-10-2035</t>
  </si>
  <si>
    <t>POL-DEF-Jun-24-1007</t>
  </si>
  <si>
    <t>FRENCH TOUCH LTD &amp;/OR SUBSEQUENT OWNERS</t>
  </si>
  <si>
    <t>06-02-2024 to 06-02-2034</t>
  </si>
  <si>
    <t>POL-DEF-Jun-24-1009</t>
  </si>
  <si>
    <t>SEKOYA17 LTD &amp;/OR MNJ PROPERTIES LTD &amp;/OR SUBSEQUENT OWNERS</t>
  </si>
  <si>
    <t>POL-MH+TPL-Dec-19-1397\R4</t>
  </si>
  <si>
    <t>NAIRAC ROBERT EDOUARD LAURENCE MR</t>
  </si>
  <si>
    <t>PY527080320234000029</t>
  </si>
  <si>
    <t>01-11-2024 to 01-11-2025</t>
  </si>
  <si>
    <t>FIRE &amp; ALLIED PERILS</t>
  </si>
  <si>
    <t>POL-DEF-Nov-24-1016</t>
  </si>
  <si>
    <t>DIL PROPERTY DEVELOPMENT LTD &amp;/OR SUBSEQUENT OWNERS</t>
  </si>
  <si>
    <t>DN52706092024000012</t>
  </si>
  <si>
    <t>01-03-2026 to 01-03-2036</t>
  </si>
  <si>
    <t>POL-CAR-TPL-May-23-1025</t>
  </si>
  <si>
    <t>POL-CAR-TPL-May-23-1025\E1</t>
  </si>
  <si>
    <t>FAIRY WEST CO LTD &amp;/OR BLUE GREEN SIGNATURE CO LTD &amp;/OR CONTRACTORS &amp;/OR SUB-CONTRACTORS</t>
  </si>
  <si>
    <t>DN52706012025000003</t>
  </si>
  <si>
    <t>01-12-2024 to 01-10-2025</t>
  </si>
  <si>
    <t>POL-CAR-TPL-Dec-24-73</t>
  </si>
  <si>
    <t>MONDO PROPERTIES LTD &amp;/OR AMARE17.1 LTD &amp;/OR CONTRACTORS &amp;/OR OTHER SUB-CONTRACTORS</t>
  </si>
  <si>
    <t>PY52706012025000002</t>
  </si>
  <si>
    <t>27-10-2024 to 26-10-2026</t>
  </si>
  <si>
    <t>POL-DEF-Dec-24-1017</t>
  </si>
  <si>
    <t>AMARE17.1  LTD &amp;/OR MNJ PROPERTIES LTD &amp;/OR SUBSEQUENT OWNERS</t>
  </si>
  <si>
    <t>PY52706092025000002</t>
  </si>
  <si>
    <t>27-10-2026 to 26-10-2036</t>
  </si>
  <si>
    <t>POL-F&amp;A-Mar-25-13</t>
  </si>
  <si>
    <t>TAMARIN SAVANNAH LTD</t>
  </si>
  <si>
    <t>PY5274012025000001</t>
  </si>
  <si>
    <t>03-03-2025 to 01-03-2026</t>
  </si>
  <si>
    <t>POL-PL-Mar-25-14</t>
  </si>
  <si>
    <t>PY52702032025000001</t>
  </si>
  <si>
    <t>PUBLIC LIABILITY</t>
  </si>
  <si>
    <t>POL-TPL-May-24-4</t>
  </si>
  <si>
    <t>POL-TPL-May-24-4\E1</t>
  </si>
  <si>
    <t>MARGEOT NICHOLAS GERARD MR</t>
  </si>
  <si>
    <t>PY5270803202000010</t>
  </si>
  <si>
    <t>12-03-2025 to 01-06-2025</t>
  </si>
  <si>
    <t>MARINE THIRD PARTY LIABILITY</t>
  </si>
  <si>
    <t>POL-DEF-Mar-25-1011</t>
  </si>
  <si>
    <t>CREATIVE PROPERTIES LTD &amp;/OR SUBSEQUENT OWNERS</t>
  </si>
  <si>
    <t>15-01-2026 to 14-01-2036</t>
  </si>
  <si>
    <t>POL-CAR-TPL-Jul-23-1050</t>
  </si>
  <si>
    <t>POL-CAR-TPL-Jul-23-1050\E1</t>
  </si>
  <si>
    <t>DN52706012025000015</t>
  </si>
  <si>
    <t>01-04-2025 to 31-03-2026</t>
  </si>
  <si>
    <t>POL-CAR-TPL-Sep-23-1059\E2</t>
  </si>
  <si>
    <t>31-05-2025 to 31-08-2025</t>
  </si>
  <si>
    <t>POL-CAR-TPL-Sep-23-1060\E2</t>
  </si>
  <si>
    <t>PY52706012023000022</t>
  </si>
  <si>
    <t>POL-DEF-Apr-25-1013</t>
  </si>
  <si>
    <t>SOCIETE EXSARTUM &amp;/OR SUBSEQUENT OWNERS</t>
  </si>
  <si>
    <t>DN52706092025000005</t>
  </si>
  <si>
    <t>04-03-2026 to 04-03-2036</t>
  </si>
  <si>
    <t>POL-DEF-Apr-25-1014</t>
  </si>
  <si>
    <t>DN52706092025000004</t>
  </si>
  <si>
    <t>POL-DEF-Apr-25-1015</t>
  </si>
  <si>
    <t>MERGEN GEORGES JEAN ROBERT MR &amp; MRS</t>
  </si>
  <si>
    <t>PY5270601202500006</t>
  </si>
  <si>
    <t>POL-DEF-Feb-25-1007</t>
  </si>
  <si>
    <t>POL-DEF-Feb-25-1007\E2</t>
  </si>
  <si>
    <t>21-03-2026 to 20-03-2036</t>
  </si>
  <si>
    <t>POL-DEF-Feb-25-1008</t>
  </si>
  <si>
    <t>POL-DEF-Feb-25-1008\E2</t>
  </si>
  <si>
    <t>20-03-2026 to 19-03-2036</t>
  </si>
  <si>
    <t>POL-DEF-Feb-25-1009</t>
  </si>
  <si>
    <t>POL-DEF-Feb-25-1009\E2</t>
  </si>
  <si>
    <t>02-06-2026 to 01-06-2036</t>
  </si>
  <si>
    <t>POL-DEF-Feb-25-1010</t>
  </si>
  <si>
    <t>POL-DEF-Feb-25-1010\E2</t>
  </si>
  <si>
    <t>21-01-2026 to 20-01-2036</t>
  </si>
  <si>
    <t>POL-CAR-TPL-May-23-1026</t>
  </si>
  <si>
    <t>POL-CAR-TPL-May-23-1026\E3</t>
  </si>
  <si>
    <t>AZURI SMART CITY COMPANY LTD &amp;/OR  CONTRACTORS &amp;/OR SUB CONTRACTORS</t>
  </si>
  <si>
    <t>DN5706012025000020</t>
  </si>
  <si>
    <t>30-04-2025 to 31-07-2025</t>
  </si>
  <si>
    <t>POL-DEF-May-25-1017</t>
  </si>
  <si>
    <t>BIRDIECO LTD &amp;/OR SUBSEQUENT OWNERS</t>
  </si>
  <si>
    <t>DN527060920250000009</t>
  </si>
  <si>
    <t>13-11-2024 to 12-11-2034</t>
  </si>
  <si>
    <t>POL-CAR-TPL-Jun-25-1030</t>
  </si>
  <si>
    <t>AZURI SMART CITY COMPANY LTD &amp;/OR CONTRACTORS &amp;/OR SUB-CONTRACTORS</t>
  </si>
  <si>
    <t>DN52706012025000022</t>
  </si>
  <si>
    <t>18-06-2025 to 18-06-2027</t>
  </si>
  <si>
    <t>POL-DEF-Jun-25-1019</t>
  </si>
  <si>
    <t>DN52706092025000010</t>
  </si>
  <si>
    <t>19-06-2027 to 18-06-2037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</si>
</sst>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>
      <alignment vertical="top"/>
    </xf>
  </cellStyleXfs>
  <cellXfs count="10">
    <xf numFmtId="0" fontId="0" fillId="0" borderId="0" xfId="0"/>
    <xf numFmtId="14" fontId="2" fillId="2" borderId="0" xfId="0" applyNumberFormat="1" applyFont="1" applyFill="1" applyAlignment="1">
      <alignment horizontal="center"/>
    </xf>
    <xf numFmtId="0" fontId="4" fillId="3" borderId="0" xfId="1" applyFont="1" applyFill="1" applyAlignment="1">
      <alignment horizontal="center" vertical="center" wrapText="1"/>
    </xf>
    <xf numFmtId="164" fontId="4" fillId="3" borderId="0" xfId="1" applyNumberFormat="1" applyFont="1" applyFill="1" applyAlignment="1">
      <alignment horizontal="center" vertical="center" wrapText="1"/>
    </xf>
    <xf numFmtId="0" fontId="0" fillId="4" borderId="0" xfId="0" applyFill="1"/>
    <xf numFmtId="164" fontId="0" fillId="4" borderId="0" xfId="0" applyNumberFormat="1" applyFill="1"/>
    <xf numFmtId="14" fontId="0" fillId="4" borderId="0" xfId="0" applyNumberFormat="1" applyFill="1"/>
    <xf numFmtId="0" fontId="2" fillId="4" borderId="0" xfId="0" applyFont="1" applyFill="1"/>
    <xf numFmtId="0" fontId="0" fillId="4" borderId="0" xfId="0" applyFill="1" applyAlignment="1">
      <alignment wrapText="1"/>
    </xf>
    <xf numFmtId="164" fontId="1" fillId="4" borderId="1" xfId="0" applyNumberFormat="1" applyFont="1" applyFill="1" applyBorder="1"/>
  </cellXfs>
  <cellStyles count="2">
    <cellStyle name="Normal" xfId="0" builtinId="0"/>
    <cellStyle name="Normal 2" xfId="1" xr:uid="{342B7D8F-6588-4C8B-882D-5607EE74C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1</xdr:col>
      <xdr:colOff>536164</xdr:colOff>
      <xdr:row>3</xdr:row>
      <xdr:rowOff>174433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1AC90A-0D08-4D71-B7BD-B9E498C7A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602964" cy="631633"/>
        </a:xfrm>
        <a:prstGeom prst="rect">
          <a:avLst/>
        </a:prstGeom>
      </xdr:spPr>
    </xdr:pic>
    <xdr:clientData/>
  </xdr:twoCellAnchor>
  <xdr:oneCellAnchor>
    <xdr:from>
      <xdr:col>18</xdr:col>
      <xdr:colOff>306705</xdr:colOff>
      <xdr:row>0</xdr:row>
      <xdr:rowOff>0</xdr:rowOff>
    </xdr:from>
    <xdr:ext cx="1727835" cy="1037159"/>
    <xdr:pic>
      <xdr:nvPicPr>
        <xdr:cNvPr id="3" name="Picture 2">
          <a:extLst>
            <a:ext uri="{FF2B5EF4-FFF2-40B4-BE49-F238E27FC236}">
              <a16:creationId xmlns:a16="http://schemas.microsoft.com/office/drawing/2014/main" id="{C91EA147-D6F1-49DE-9C48-C673E45C3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42055" y="0"/>
          <a:ext cx="1727835" cy="10371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F0DD-FA9D-42D0-B232-1CBACDE69859}">
  <dimension ref="A1:T46"/>
  <sheetViews>
    <sheetView tabSelected="1" workbookViewId="0">
      <selection activeCell="O6" sqref="O6"/>
    </sheetView>
  </sheetViews>
  <sheetFormatPr defaultRowHeight="14.4" x14ac:dyDescent="0.3"/>
  <cols>
    <col min="1" max="1" width="15.5546875" customWidth="1"/>
    <col min="2" max="2" width="19.6640625" customWidth="1"/>
    <col min="3" max="3" width="22.44140625" customWidth="1"/>
    <col min="4" max="4" width="18.5546875" customWidth="1"/>
    <col min="5" max="5" width="21.6640625" customWidth="1"/>
    <col min="6" max="6" width="5" bestFit="1" customWidth="1"/>
    <col min="7" max="7" width="11.21875" bestFit="1" customWidth="1"/>
    <col min="8" max="8" width="8" bestFit="1" customWidth="1"/>
    <col min="9" max="9" width="10.21875" bestFit="1" customWidth="1"/>
    <col min="10" max="10" width="7.77734375" bestFit="1" customWidth="1"/>
    <col min="11" max="11" width="8.33203125" bestFit="1" customWidth="1"/>
    <col min="12" max="12" width="11" bestFit="1" customWidth="1"/>
    <col min="13" max="13" width="11.88671875" bestFit="1" customWidth="1"/>
    <col min="14" max="14" width="11.88671875" customWidth="1"/>
    <col min="15" max="15" width="11.88671875" bestFit="1" customWidth="1"/>
    <col min="16" max="16" width="9.44140625" bestFit="1" customWidth="1"/>
    <col min="17" max="17" width="10.21875" bestFit="1" customWidth="1"/>
    <col min="18" max="18" width="21.33203125" customWidth="1"/>
    <col min="19" max="19" width="10.33203125" bestFit="1" customWidth="1"/>
    <col min="20" max="20" width="18.88671875" customWidth="1"/>
  </cols>
  <sheetData>
    <row r="1" spans="1:20" x14ac:dyDescent="0.3">
      <c r="A1" s="4"/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"/>
      <c r="S1" s="6"/>
      <c r="T1" s="4"/>
    </row>
    <row r="2" spans="1:20" x14ac:dyDescent="0.3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/>
      <c r="S2" s="6"/>
      <c r="T2" s="4"/>
    </row>
    <row r="3" spans="1:20" x14ac:dyDescent="0.3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6"/>
      <c r="T3" s="4"/>
    </row>
    <row r="4" spans="1:20" x14ac:dyDescent="0.3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6"/>
      <c r="T4" s="4"/>
    </row>
    <row r="5" spans="1:20" x14ac:dyDescent="0.3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6"/>
      <c r="T5" s="4"/>
    </row>
    <row r="6" spans="1:20" x14ac:dyDescent="0.3">
      <c r="A6" s="4"/>
      <c r="B6" s="4"/>
      <c r="C6" s="4"/>
      <c r="D6" s="4">
        <v>2</v>
      </c>
      <c r="E6" s="4">
        <v>1</v>
      </c>
      <c r="F6" s="4"/>
      <c r="G6" s="5"/>
      <c r="H6" s="5"/>
      <c r="I6" s="5"/>
      <c r="J6" s="5"/>
      <c r="K6" s="5"/>
      <c r="L6" s="5"/>
      <c r="M6" s="5"/>
      <c r="N6" s="5"/>
      <c r="O6" s="5">
        <v>3</v>
      </c>
      <c r="P6" s="5"/>
      <c r="Q6" s="5"/>
      <c r="R6" s="4"/>
      <c r="S6" s="6"/>
      <c r="T6" s="4"/>
    </row>
    <row r="7" spans="1:20" x14ac:dyDescent="0.3">
      <c r="A7" s="7" t="s">
        <v>0</v>
      </c>
      <c r="B7" s="4"/>
      <c r="C7" s="1">
        <v>45838</v>
      </c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6"/>
      <c r="T7" s="4"/>
    </row>
    <row r="8" spans="1:20" ht="52.8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2" t="s">
        <v>18</v>
      </c>
      <c r="S8" s="2" t="s">
        <v>19</v>
      </c>
      <c r="T8" s="2" t="s">
        <v>20</v>
      </c>
    </row>
    <row r="9" spans="1:20" x14ac:dyDescent="0.3">
      <c r="A9" s="4" t="s">
        <v>21</v>
      </c>
      <c r="B9" s="4" t="s">
        <v>25</v>
      </c>
      <c r="C9" s="4" t="s">
        <v>25</v>
      </c>
      <c r="D9" s="4" t="s">
        <v>26</v>
      </c>
      <c r="E9" s="8" t="s">
        <v>23</v>
      </c>
      <c r="F9" s="4" t="s">
        <v>22</v>
      </c>
      <c r="G9" s="5">
        <v>575575</v>
      </c>
      <c r="H9" s="5">
        <v>15</v>
      </c>
      <c r="I9" s="5">
        <v>86336.25</v>
      </c>
      <c r="J9" s="5">
        <v>5014.51</v>
      </c>
      <c r="K9" s="5">
        <v>0</v>
      </c>
      <c r="L9" s="5">
        <v>494253.26</v>
      </c>
      <c r="M9" s="5">
        <v>-464472</v>
      </c>
      <c r="N9" s="5">
        <v>-464472</v>
      </c>
      <c r="O9" s="5">
        <v>-395402.94170785137</v>
      </c>
      <c r="P9" s="5">
        <v>17267.509999999998</v>
      </c>
      <c r="Q9" s="5">
        <v>69068.740000000005</v>
      </c>
      <c r="R9" s="4" t="s">
        <v>27</v>
      </c>
      <c r="S9" s="6">
        <v>45016.699270833298</v>
      </c>
      <c r="T9" s="4" t="s">
        <v>24</v>
      </c>
    </row>
    <row r="10" spans="1:20" x14ac:dyDescent="0.3">
      <c r="A10" s="4" t="s">
        <v>21</v>
      </c>
      <c r="B10" s="4" t="s">
        <v>28</v>
      </c>
      <c r="C10" s="4" t="s">
        <v>28</v>
      </c>
      <c r="D10" s="4" t="s">
        <v>29</v>
      </c>
      <c r="E10" s="4" t="s">
        <v>30</v>
      </c>
      <c r="F10" s="4" t="s">
        <v>22</v>
      </c>
      <c r="G10" s="5">
        <v>3371316.22</v>
      </c>
      <c r="H10" s="5">
        <v>15</v>
      </c>
      <c r="I10" s="5">
        <v>505697.43</v>
      </c>
      <c r="J10" s="5">
        <v>19299.61</v>
      </c>
      <c r="K10" s="5">
        <v>0</v>
      </c>
      <c r="L10" s="5">
        <v>2884918.4</v>
      </c>
      <c r="M10" s="5">
        <v>-2706390</v>
      </c>
      <c r="N10" s="5">
        <v>-2706390</v>
      </c>
      <c r="O10" s="5">
        <v>-2302742.245079414</v>
      </c>
      <c r="P10" s="5">
        <v>102050.13</v>
      </c>
      <c r="Q10" s="5">
        <v>403647.3</v>
      </c>
      <c r="R10" s="4" t="s">
        <v>31</v>
      </c>
      <c r="S10" s="6">
        <v>45085.464502314797</v>
      </c>
      <c r="T10" s="4" t="s">
        <v>24</v>
      </c>
    </row>
    <row r="11" spans="1:20" x14ac:dyDescent="0.3">
      <c r="A11" s="4" t="s">
        <v>21</v>
      </c>
      <c r="B11" s="4" t="s">
        <v>32</v>
      </c>
      <c r="C11" s="4" t="s">
        <v>32</v>
      </c>
      <c r="D11" s="4" t="s">
        <v>33</v>
      </c>
      <c r="E11" s="4" t="s">
        <v>23</v>
      </c>
      <c r="F11" s="4" t="s">
        <v>22</v>
      </c>
      <c r="G11" s="5">
        <v>2633893.5</v>
      </c>
      <c r="H11" s="5">
        <v>15</v>
      </c>
      <c r="I11" s="5">
        <v>395084.03</v>
      </c>
      <c r="J11" s="5">
        <v>14218.63</v>
      </c>
      <c r="K11" s="5">
        <v>0</v>
      </c>
      <c r="L11" s="5">
        <v>2253028.1</v>
      </c>
      <c r="M11" s="5">
        <v>-2383301</v>
      </c>
      <c r="N11" s="5">
        <v>-2383301</v>
      </c>
      <c r="O11" s="5">
        <v>-2027725.3606168481</v>
      </c>
      <c r="P11" s="5">
        <v>39508.400000000001</v>
      </c>
      <c r="Q11" s="5">
        <v>355575.63</v>
      </c>
      <c r="R11" s="4" t="s">
        <v>34</v>
      </c>
      <c r="S11" s="6">
        <v>45097.6734490741</v>
      </c>
      <c r="T11" s="4" t="s">
        <v>24</v>
      </c>
    </row>
    <row r="12" spans="1:20" x14ac:dyDescent="0.3">
      <c r="A12" s="4" t="s">
        <v>21</v>
      </c>
      <c r="B12" s="4" t="s">
        <v>36</v>
      </c>
      <c r="C12" s="4" t="s">
        <v>36</v>
      </c>
      <c r="D12" s="4" t="s">
        <v>37</v>
      </c>
      <c r="E12" s="4" t="s">
        <v>38</v>
      </c>
      <c r="F12" s="4" t="s">
        <v>22</v>
      </c>
      <c r="G12" s="5">
        <v>913623.88</v>
      </c>
      <c r="H12" s="5">
        <v>15</v>
      </c>
      <c r="I12" s="5">
        <v>137043.57999999999</v>
      </c>
      <c r="J12" s="5">
        <v>6197.68</v>
      </c>
      <c r="K12" s="5">
        <v>0</v>
      </c>
      <c r="L12" s="5">
        <v>782777.98</v>
      </c>
      <c r="M12" s="5">
        <v>-919822</v>
      </c>
      <c r="N12" s="5">
        <v>-919822</v>
      </c>
      <c r="O12" s="5">
        <v>-782778.35444470344</v>
      </c>
      <c r="P12" s="5">
        <v>-0.42000000001862597</v>
      </c>
      <c r="Q12" s="5">
        <v>137044</v>
      </c>
      <c r="R12" s="4" t="s">
        <v>39</v>
      </c>
      <c r="S12" s="6">
        <v>45169.449409722198</v>
      </c>
      <c r="T12" s="4" t="s">
        <v>40</v>
      </c>
    </row>
    <row r="13" spans="1:20" x14ac:dyDescent="0.3">
      <c r="A13" s="4" t="s">
        <v>21</v>
      </c>
      <c r="B13" s="4" t="s">
        <v>41</v>
      </c>
      <c r="C13" s="4" t="s">
        <v>41</v>
      </c>
      <c r="D13" s="4" t="s">
        <v>42</v>
      </c>
      <c r="E13" s="4" t="s">
        <v>23</v>
      </c>
      <c r="F13" s="4" t="s">
        <v>22</v>
      </c>
      <c r="G13" s="5">
        <v>3292511.81</v>
      </c>
      <c r="H13" s="5">
        <v>15</v>
      </c>
      <c r="I13" s="5">
        <v>493876.77</v>
      </c>
      <c r="J13" s="5">
        <v>14523.79</v>
      </c>
      <c r="K13" s="5">
        <v>0</v>
      </c>
      <c r="L13" s="5">
        <v>2813158.83</v>
      </c>
      <c r="M13" s="5">
        <v>-2976332</v>
      </c>
      <c r="N13" s="5">
        <v>-2976332</v>
      </c>
      <c r="O13" s="5">
        <v>-2531842.9129736493</v>
      </c>
      <c r="P13" s="5">
        <v>49387.51</v>
      </c>
      <c r="Q13" s="5">
        <v>444489.26</v>
      </c>
      <c r="R13" s="4" t="s">
        <v>43</v>
      </c>
      <c r="S13" s="6">
        <v>45169.441087963001</v>
      </c>
      <c r="T13" s="4" t="s">
        <v>24</v>
      </c>
    </row>
    <row r="14" spans="1:20" x14ac:dyDescent="0.3">
      <c r="A14" s="4" t="s">
        <v>21</v>
      </c>
      <c r="B14" s="4" t="s">
        <v>44</v>
      </c>
      <c r="C14" s="4" t="s">
        <v>44</v>
      </c>
      <c r="D14" s="4" t="s">
        <v>42</v>
      </c>
      <c r="E14" s="4" t="s">
        <v>23</v>
      </c>
      <c r="F14" s="4" t="s">
        <v>22</v>
      </c>
      <c r="G14" s="5">
        <v>3040785.96</v>
      </c>
      <c r="H14" s="5">
        <v>15</v>
      </c>
      <c r="I14" s="5">
        <v>456117.89</v>
      </c>
      <c r="J14" s="5">
        <v>13642.75</v>
      </c>
      <c r="K14" s="5">
        <v>0</v>
      </c>
      <c r="L14" s="5">
        <v>2598310.8199999998</v>
      </c>
      <c r="M14" s="5">
        <v>-2748986</v>
      </c>
      <c r="N14" s="5">
        <v>-2748986</v>
      </c>
      <c r="O14" s="5">
        <v>-2338479.8749578674</v>
      </c>
      <c r="P14" s="5">
        <v>45611.7</v>
      </c>
      <c r="Q14" s="5">
        <v>410506.19</v>
      </c>
      <c r="R14" s="4" t="s">
        <v>43</v>
      </c>
      <c r="S14" s="6">
        <v>45169.441087963001</v>
      </c>
      <c r="T14" s="4" t="s">
        <v>24</v>
      </c>
    </row>
    <row r="15" spans="1:20" x14ac:dyDescent="0.3">
      <c r="A15" s="4" t="s">
        <v>21</v>
      </c>
      <c r="B15" s="4" t="s">
        <v>45</v>
      </c>
      <c r="C15" s="4" t="s">
        <v>45</v>
      </c>
      <c r="D15" s="4" t="s">
        <v>42</v>
      </c>
      <c r="E15" s="4" t="s">
        <v>23</v>
      </c>
      <c r="F15" s="4" t="s">
        <v>22</v>
      </c>
      <c r="G15" s="5">
        <v>5065402.8</v>
      </c>
      <c r="H15" s="5">
        <v>15</v>
      </c>
      <c r="I15" s="5">
        <v>759810.42</v>
      </c>
      <c r="J15" s="5">
        <v>20728.91</v>
      </c>
      <c r="K15" s="5">
        <v>0</v>
      </c>
      <c r="L15" s="5">
        <v>4326321.29</v>
      </c>
      <c r="M15" s="5">
        <v>-5086132</v>
      </c>
      <c r="N15" s="5">
        <v>-5086132</v>
      </c>
      <c r="O15" s="5">
        <v>-4326321.5366772879</v>
      </c>
      <c r="P15" s="5">
        <v>0.42</v>
      </c>
      <c r="Q15" s="5">
        <v>759810</v>
      </c>
      <c r="R15" s="4" t="s">
        <v>46</v>
      </c>
      <c r="S15" s="6">
        <v>45169.441087963001</v>
      </c>
      <c r="T15" s="4" t="s">
        <v>24</v>
      </c>
    </row>
    <row r="16" spans="1:20" x14ac:dyDescent="0.3">
      <c r="A16" s="4" t="s">
        <v>21</v>
      </c>
      <c r="B16" s="4" t="s">
        <v>52</v>
      </c>
      <c r="C16" s="4" t="s">
        <v>52</v>
      </c>
      <c r="D16" s="4" t="s">
        <v>53</v>
      </c>
      <c r="E16" s="4" t="s">
        <v>51</v>
      </c>
      <c r="F16" s="4" t="s">
        <v>22</v>
      </c>
      <c r="G16" s="5">
        <v>4887500</v>
      </c>
      <c r="H16" s="5">
        <v>15</v>
      </c>
      <c r="I16" s="5">
        <v>733125</v>
      </c>
      <c r="J16" s="5">
        <v>21106.25</v>
      </c>
      <c r="K16" s="5">
        <v>0</v>
      </c>
      <c r="L16" s="5">
        <v>4175481.25</v>
      </c>
      <c r="M16" s="5">
        <v>-4417745</v>
      </c>
      <c r="N16" s="5">
        <v>-4417745</v>
      </c>
      <c r="O16" s="5">
        <v>-3757932.5933468896</v>
      </c>
      <c r="P16" s="5">
        <v>73312.5600000001</v>
      </c>
      <c r="Q16" s="5">
        <v>659812.43999999994</v>
      </c>
      <c r="R16" s="4" t="s">
        <v>54</v>
      </c>
      <c r="S16" s="6">
        <v>45273.667754629598</v>
      </c>
      <c r="T16" s="4" t="s">
        <v>24</v>
      </c>
    </row>
    <row r="17" spans="1:20" x14ac:dyDescent="0.3">
      <c r="A17" s="4" t="s">
        <v>21</v>
      </c>
      <c r="B17" s="4" t="s">
        <v>55</v>
      </c>
      <c r="C17" s="4" t="s">
        <v>55</v>
      </c>
      <c r="D17" s="4" t="s">
        <v>53</v>
      </c>
      <c r="E17" s="4" t="s">
        <v>51</v>
      </c>
      <c r="F17" s="4" t="s">
        <v>22</v>
      </c>
      <c r="G17" s="5">
        <v>6684375</v>
      </c>
      <c r="H17" s="5">
        <v>15</v>
      </c>
      <c r="I17" s="5">
        <v>1002656.25</v>
      </c>
      <c r="J17" s="5">
        <v>27395.31</v>
      </c>
      <c r="K17" s="5">
        <v>0</v>
      </c>
      <c r="L17" s="5">
        <v>5709114.0599999996</v>
      </c>
      <c r="M17" s="5">
        <v>-6040593</v>
      </c>
      <c r="N17" s="5">
        <v>-6040593</v>
      </c>
      <c r="O17" s="5">
        <v>-5138202.4166791812</v>
      </c>
      <c r="P17" s="5">
        <v>100265.87</v>
      </c>
      <c r="Q17" s="5">
        <v>902390.38</v>
      </c>
      <c r="R17" s="4" t="s">
        <v>56</v>
      </c>
      <c r="S17" s="6">
        <v>45427.585555555597</v>
      </c>
      <c r="T17" s="4" t="s">
        <v>24</v>
      </c>
    </row>
    <row r="18" spans="1:20" x14ac:dyDescent="0.3">
      <c r="A18" s="4" t="s">
        <v>21</v>
      </c>
      <c r="B18" s="4" t="s">
        <v>57</v>
      </c>
      <c r="C18" s="4" t="s">
        <v>57</v>
      </c>
      <c r="D18" s="4" t="s">
        <v>26</v>
      </c>
      <c r="E18" s="4" t="s">
        <v>23</v>
      </c>
      <c r="F18" s="4" t="s">
        <v>22</v>
      </c>
      <c r="G18" s="5">
        <v>504687.5</v>
      </c>
      <c r="H18" s="5">
        <v>15</v>
      </c>
      <c r="I18" s="5">
        <v>75703.13</v>
      </c>
      <c r="J18" s="5">
        <v>4766.41</v>
      </c>
      <c r="K18" s="5">
        <v>0</v>
      </c>
      <c r="L18" s="5">
        <v>433750.78</v>
      </c>
      <c r="M18" s="5">
        <v>-407563</v>
      </c>
      <c r="N18" s="5">
        <v>-407563</v>
      </c>
      <c r="O18" s="5">
        <v>-347000.51502036757</v>
      </c>
      <c r="P18" s="5">
        <v>15140.79</v>
      </c>
      <c r="Q18" s="5">
        <v>60562.34</v>
      </c>
      <c r="R18" s="4" t="s">
        <v>58</v>
      </c>
      <c r="S18" s="6">
        <v>45246.394641203697</v>
      </c>
      <c r="T18" s="4" t="s">
        <v>24</v>
      </c>
    </row>
    <row r="19" spans="1:20" x14ac:dyDescent="0.3">
      <c r="A19" s="4" t="s">
        <v>21</v>
      </c>
      <c r="B19" s="4" t="s">
        <v>59</v>
      </c>
      <c r="C19" s="4" t="s">
        <v>59</v>
      </c>
      <c r="D19" s="4" t="s">
        <v>33</v>
      </c>
      <c r="E19" s="4" t="s">
        <v>23</v>
      </c>
      <c r="F19" s="4" t="s">
        <v>22</v>
      </c>
      <c r="G19" s="5">
        <v>3534850.77</v>
      </c>
      <c r="H19" s="5">
        <v>15</v>
      </c>
      <c r="I19" s="5">
        <v>530227.62</v>
      </c>
      <c r="J19" s="5">
        <v>19871.98</v>
      </c>
      <c r="K19" s="5">
        <v>0</v>
      </c>
      <c r="L19" s="5">
        <v>3024495.13</v>
      </c>
      <c r="M19" s="5">
        <v>-2843778</v>
      </c>
      <c r="N19" s="5">
        <v>-2843778</v>
      </c>
      <c r="O19" s="5">
        <v>-2419595.933832291</v>
      </c>
      <c r="P19" s="5">
        <v>106045.21</v>
      </c>
      <c r="Q19" s="5">
        <v>424182.41</v>
      </c>
      <c r="R19" s="4" t="s">
        <v>60</v>
      </c>
      <c r="S19" s="6">
        <v>45427.415810185201</v>
      </c>
      <c r="T19" s="4" t="s">
        <v>24</v>
      </c>
    </row>
    <row r="20" spans="1:20" x14ac:dyDescent="0.3">
      <c r="A20" s="4" t="s">
        <v>21</v>
      </c>
      <c r="B20" s="4" t="s">
        <v>61</v>
      </c>
      <c r="C20" s="4" t="s">
        <v>61</v>
      </c>
      <c r="D20" s="4" t="s">
        <v>62</v>
      </c>
      <c r="E20" s="8" t="s">
        <v>23</v>
      </c>
      <c r="F20" s="4" t="s">
        <v>22</v>
      </c>
      <c r="G20" s="5">
        <v>637261</v>
      </c>
      <c r="H20" s="5">
        <v>15</v>
      </c>
      <c r="I20" s="5">
        <v>95589.15</v>
      </c>
      <c r="J20" s="5">
        <v>2230.41</v>
      </c>
      <c r="K20" s="5">
        <v>0</v>
      </c>
      <c r="L20" s="5">
        <v>543902.26</v>
      </c>
      <c r="M20" s="5">
        <v>-639491</v>
      </c>
      <c r="N20" s="5">
        <v>-639491</v>
      </c>
      <c r="O20" s="5">
        <v>-543901.91128550109</v>
      </c>
      <c r="P20" s="5">
        <v>0.15</v>
      </c>
      <c r="Q20" s="5">
        <v>95589</v>
      </c>
      <c r="R20" s="4" t="s">
        <v>63</v>
      </c>
      <c r="S20" s="6">
        <v>45461.412997685198</v>
      </c>
      <c r="T20" s="4" t="s">
        <v>24</v>
      </c>
    </row>
    <row r="21" spans="1:20" x14ac:dyDescent="0.3">
      <c r="A21" s="4" t="s">
        <v>21</v>
      </c>
      <c r="B21" s="4" t="s">
        <v>64</v>
      </c>
      <c r="C21" s="4" t="s">
        <v>64</v>
      </c>
      <c r="D21" s="4" t="s">
        <v>65</v>
      </c>
      <c r="E21" s="4" t="s">
        <v>23</v>
      </c>
      <c r="F21" s="4" t="s">
        <v>22</v>
      </c>
      <c r="G21" s="5">
        <v>2812500</v>
      </c>
      <c r="H21" s="5">
        <v>15</v>
      </c>
      <c r="I21" s="5">
        <v>421875</v>
      </c>
      <c r="J21" s="5">
        <v>14843.75</v>
      </c>
      <c r="K21" s="5">
        <v>0</v>
      </c>
      <c r="L21" s="5">
        <v>2405468.75</v>
      </c>
      <c r="M21" s="5">
        <v>-2261875</v>
      </c>
      <c r="N21" s="5">
        <v>-2261875</v>
      </c>
      <c r="O21" s="5">
        <v>-1924375</v>
      </c>
      <c r="P21" s="5">
        <v>84375.039999999994</v>
      </c>
      <c r="Q21" s="5">
        <v>337499.96</v>
      </c>
      <c r="R21" s="4" t="s">
        <v>56</v>
      </c>
      <c r="S21" s="6">
        <v>45471.414259259298</v>
      </c>
      <c r="T21" s="4" t="s">
        <v>24</v>
      </c>
    </row>
    <row r="22" spans="1:20" x14ac:dyDescent="0.3">
      <c r="A22" s="4" t="s">
        <v>21</v>
      </c>
      <c r="B22" s="4" t="s">
        <v>66</v>
      </c>
      <c r="C22" s="4" t="s">
        <v>66</v>
      </c>
      <c r="D22" s="4" t="s">
        <v>67</v>
      </c>
      <c r="E22" s="8" t="s">
        <v>68</v>
      </c>
      <c r="F22" s="4" t="s">
        <v>22</v>
      </c>
      <c r="G22" s="5">
        <v>18289.52</v>
      </c>
      <c r="H22" s="5">
        <v>15</v>
      </c>
      <c r="I22" s="5">
        <v>2743.43</v>
      </c>
      <c r="J22" s="5">
        <v>214.01</v>
      </c>
      <c r="K22" s="5">
        <v>0</v>
      </c>
      <c r="L22" s="5">
        <v>15760.1</v>
      </c>
      <c r="M22" s="5">
        <v>-13177</v>
      </c>
      <c r="N22" s="5">
        <v>-13177</v>
      </c>
      <c r="O22" s="5">
        <v>-11223.309157766113</v>
      </c>
      <c r="P22" s="5">
        <v>790.24</v>
      </c>
      <c r="Q22" s="5">
        <v>1953.19</v>
      </c>
      <c r="R22" s="4" t="s">
        <v>69</v>
      </c>
      <c r="S22" s="6">
        <v>45609.353356481501</v>
      </c>
      <c r="T22" s="4" t="s">
        <v>35</v>
      </c>
    </row>
    <row r="23" spans="1:20" x14ac:dyDescent="0.3">
      <c r="A23" s="4" t="s">
        <v>21</v>
      </c>
      <c r="B23" s="4" t="s">
        <v>71</v>
      </c>
      <c r="C23" s="4" t="s">
        <v>71</v>
      </c>
      <c r="D23" s="4" t="s">
        <v>72</v>
      </c>
      <c r="E23" s="4" t="s">
        <v>73</v>
      </c>
      <c r="F23" s="4" t="s">
        <v>22</v>
      </c>
      <c r="G23" s="5">
        <v>4192549.69</v>
      </c>
      <c r="H23" s="5">
        <v>15</v>
      </c>
      <c r="I23" s="5">
        <v>628882.44999999995</v>
      </c>
      <c r="J23" s="5">
        <v>22173.919999999998</v>
      </c>
      <c r="K23" s="5">
        <v>0</v>
      </c>
      <c r="L23" s="5">
        <v>3585841.16</v>
      </c>
      <c r="M23" s="5">
        <v>-3371779</v>
      </c>
      <c r="N23" s="5">
        <v>-3371779</v>
      </c>
      <c r="O23" s="5">
        <v>-2868673.0232883859</v>
      </c>
      <c r="P23" s="5">
        <v>125776.98</v>
      </c>
      <c r="Q23" s="5">
        <v>503105.47</v>
      </c>
      <c r="R23" s="4" t="s">
        <v>74</v>
      </c>
      <c r="S23" s="6">
        <v>45643.676030092603</v>
      </c>
      <c r="T23" s="4" t="s">
        <v>24</v>
      </c>
    </row>
    <row r="24" spans="1:20" x14ac:dyDescent="0.3">
      <c r="A24" s="4" t="s">
        <v>21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22</v>
      </c>
      <c r="G24" s="5">
        <v>227953</v>
      </c>
      <c r="H24" s="5">
        <v>15</v>
      </c>
      <c r="I24" s="5">
        <v>34192.949999999997</v>
      </c>
      <c r="J24" s="5">
        <v>2797.84</v>
      </c>
      <c r="K24" s="5">
        <v>0</v>
      </c>
      <c r="L24" s="5">
        <v>196557.89</v>
      </c>
      <c r="M24" s="5">
        <v>-173063</v>
      </c>
      <c r="N24" s="5">
        <v>-173063</v>
      </c>
      <c r="O24" s="5">
        <v>-147418.30676356368</v>
      </c>
      <c r="P24" s="5">
        <v>19374.810000000001</v>
      </c>
      <c r="Q24" s="5">
        <v>14818.14</v>
      </c>
      <c r="R24" s="4" t="s">
        <v>79</v>
      </c>
      <c r="S24" s="6">
        <v>45671.411539351902</v>
      </c>
      <c r="T24" s="4" t="s">
        <v>40</v>
      </c>
    </row>
    <row r="25" spans="1:20" x14ac:dyDescent="0.3">
      <c r="A25" s="4" t="s">
        <v>21</v>
      </c>
      <c r="B25" s="4" t="s">
        <v>80</v>
      </c>
      <c r="C25" s="4" t="s">
        <v>80</v>
      </c>
      <c r="D25" s="4" t="s">
        <v>81</v>
      </c>
      <c r="E25" s="4" t="s">
        <v>82</v>
      </c>
      <c r="F25" s="4" t="s">
        <v>22</v>
      </c>
      <c r="G25" s="5">
        <v>212500</v>
      </c>
      <c r="H25" s="5">
        <v>15</v>
      </c>
      <c r="I25" s="5">
        <v>31875</v>
      </c>
      <c r="J25" s="5">
        <v>2743.75</v>
      </c>
      <c r="K25" s="5">
        <v>0</v>
      </c>
      <c r="L25" s="5">
        <v>183368.75</v>
      </c>
      <c r="M25" s="5">
        <v>-215244</v>
      </c>
      <c r="N25" s="5">
        <v>-215244</v>
      </c>
      <c r="O25" s="5">
        <v>-183368.96297801912</v>
      </c>
      <c r="P25" s="5">
        <v>0</v>
      </c>
      <c r="Q25" s="5">
        <v>31875</v>
      </c>
      <c r="R25" s="4" t="s">
        <v>83</v>
      </c>
      <c r="S25" s="6">
        <v>45727.684722222199</v>
      </c>
      <c r="T25" s="4" t="s">
        <v>40</v>
      </c>
    </row>
    <row r="26" spans="1:20" x14ac:dyDescent="0.3">
      <c r="A26" s="4" t="s">
        <v>21</v>
      </c>
      <c r="B26" s="4" t="s">
        <v>84</v>
      </c>
      <c r="C26" s="4" t="s">
        <v>84</v>
      </c>
      <c r="D26" s="4" t="s">
        <v>85</v>
      </c>
      <c r="E26" s="4" t="s">
        <v>86</v>
      </c>
      <c r="F26" s="4" t="s">
        <v>22</v>
      </c>
      <c r="G26" s="5">
        <v>1250000</v>
      </c>
      <c r="H26" s="5">
        <v>15</v>
      </c>
      <c r="I26" s="5">
        <v>187500</v>
      </c>
      <c r="J26" s="5">
        <v>8375</v>
      </c>
      <c r="K26" s="5">
        <v>0</v>
      </c>
      <c r="L26" s="5">
        <v>1070875</v>
      </c>
      <c r="M26" s="5">
        <v>-1258375</v>
      </c>
      <c r="N26" s="5">
        <v>-1258375</v>
      </c>
      <c r="O26" s="5">
        <v>-1070875</v>
      </c>
      <c r="P26" s="5">
        <v>0</v>
      </c>
      <c r="Q26" s="5">
        <v>187500</v>
      </c>
      <c r="R26" s="4" t="s">
        <v>87</v>
      </c>
      <c r="S26" s="6">
        <v>45727.684907407398</v>
      </c>
      <c r="T26" s="4" t="s">
        <v>24</v>
      </c>
    </row>
    <row r="27" spans="1:20" x14ac:dyDescent="0.3">
      <c r="A27" s="4" t="s">
        <v>21</v>
      </c>
      <c r="B27" s="4" t="s">
        <v>88</v>
      </c>
      <c r="C27" s="4" t="s">
        <v>88</v>
      </c>
      <c r="D27" s="4" t="s">
        <v>89</v>
      </c>
      <c r="E27" s="4" t="s">
        <v>90</v>
      </c>
      <c r="F27" s="4" t="s">
        <v>22</v>
      </c>
      <c r="G27" s="5">
        <v>27528.32</v>
      </c>
      <c r="H27" s="5">
        <v>15</v>
      </c>
      <c r="I27" s="5">
        <v>4129.25</v>
      </c>
      <c r="J27" s="5">
        <v>396.35</v>
      </c>
      <c r="K27" s="5">
        <v>0</v>
      </c>
      <c r="L27" s="5">
        <v>23795.42</v>
      </c>
      <c r="M27" s="5">
        <v>-27925</v>
      </c>
      <c r="N27" s="5">
        <v>-27925</v>
      </c>
      <c r="O27" s="5">
        <v>-23795.701202556735</v>
      </c>
      <c r="P27" s="5">
        <v>0.25</v>
      </c>
      <c r="Q27" s="5">
        <v>4129</v>
      </c>
      <c r="R27" s="4" t="s">
        <v>91</v>
      </c>
      <c r="S27" s="6">
        <v>45765.515370370398</v>
      </c>
      <c r="T27" s="4" t="s">
        <v>70</v>
      </c>
    </row>
    <row r="28" spans="1:20" x14ac:dyDescent="0.3">
      <c r="A28" s="4" t="s">
        <v>21</v>
      </c>
      <c r="B28" s="4" t="s">
        <v>92</v>
      </c>
      <c r="C28" s="4" t="s">
        <v>92</v>
      </c>
      <c r="D28" s="4" t="s">
        <v>89</v>
      </c>
      <c r="E28" s="4" t="s">
        <v>93</v>
      </c>
      <c r="F28" s="4" t="s">
        <v>22</v>
      </c>
      <c r="G28" s="5">
        <v>13600.07</v>
      </c>
      <c r="H28" s="5">
        <v>15</v>
      </c>
      <c r="I28" s="5">
        <v>2040.01</v>
      </c>
      <c r="J28" s="5">
        <v>197.6</v>
      </c>
      <c r="K28" s="5">
        <v>0</v>
      </c>
      <c r="L28" s="5">
        <v>11757.66</v>
      </c>
      <c r="M28" s="5">
        <v>-13798</v>
      </c>
      <c r="N28" s="5">
        <v>-13798</v>
      </c>
      <c r="O28" s="5">
        <v>-11757.941208914259</v>
      </c>
      <c r="P28" s="5">
        <v>0.01</v>
      </c>
      <c r="Q28" s="5">
        <v>2040</v>
      </c>
      <c r="R28" s="4" t="s">
        <v>91</v>
      </c>
      <c r="S28" s="6">
        <v>45765.515740740702</v>
      </c>
      <c r="T28" s="4" t="s">
        <v>94</v>
      </c>
    </row>
    <row r="29" spans="1:20" x14ac:dyDescent="0.3">
      <c r="A29" s="4" t="s">
        <v>21</v>
      </c>
      <c r="B29" s="4" t="s">
        <v>95</v>
      </c>
      <c r="C29" s="4" t="s">
        <v>96</v>
      </c>
      <c r="D29" s="4" t="s">
        <v>97</v>
      </c>
      <c r="E29" s="4" t="s">
        <v>98</v>
      </c>
      <c r="F29" s="4" t="s">
        <v>22</v>
      </c>
      <c r="G29" s="5">
        <v>-1331.51</v>
      </c>
      <c r="H29" s="5">
        <v>15</v>
      </c>
      <c r="I29" s="5">
        <v>-199.73</v>
      </c>
      <c r="J29" s="5">
        <v>95.34</v>
      </c>
      <c r="K29" s="5">
        <v>0</v>
      </c>
      <c r="L29" s="5">
        <v>-1036.44</v>
      </c>
      <c r="M29" s="5">
        <v>1236</v>
      </c>
      <c r="N29" s="5">
        <v>1236</v>
      </c>
      <c r="O29" s="5">
        <v>1036.2974671768447</v>
      </c>
      <c r="P29" s="5">
        <v>0.27</v>
      </c>
      <c r="Q29" s="5">
        <v>-200</v>
      </c>
      <c r="R29" s="4" t="s">
        <v>99</v>
      </c>
      <c r="S29" s="6">
        <v>45741.338206018503</v>
      </c>
      <c r="T29" s="4" t="s">
        <v>100</v>
      </c>
    </row>
    <row r="30" spans="1:20" x14ac:dyDescent="0.3">
      <c r="A30" s="4" t="s">
        <v>21</v>
      </c>
      <c r="B30" s="4" t="s">
        <v>101</v>
      </c>
      <c r="C30" s="4" t="s">
        <v>101</v>
      </c>
      <c r="D30" s="4" t="s">
        <v>102</v>
      </c>
      <c r="E30" s="4" t="s">
        <v>23</v>
      </c>
      <c r="F30" s="4" t="s">
        <v>22</v>
      </c>
      <c r="G30" s="5">
        <v>1822112.7</v>
      </c>
      <c r="H30" s="5">
        <v>15</v>
      </c>
      <c r="I30" s="5">
        <v>273316.90999999997</v>
      </c>
      <c r="J30" s="5">
        <v>10377.39</v>
      </c>
      <c r="K30" s="5">
        <v>0</v>
      </c>
      <c r="L30" s="5">
        <v>1559173.18</v>
      </c>
      <c r="M30" s="5">
        <v>-1272734</v>
      </c>
      <c r="N30" s="5">
        <v>-1272734</v>
      </c>
      <c r="O30" s="5">
        <v>-1082905.020279875</v>
      </c>
      <c r="P30" s="5">
        <v>83487.77</v>
      </c>
      <c r="Q30" s="5">
        <v>189829.14</v>
      </c>
      <c r="R30" s="4" t="s">
        <v>103</v>
      </c>
      <c r="S30" s="6">
        <v>45771.498530092598</v>
      </c>
      <c r="T30" s="4" t="s">
        <v>24</v>
      </c>
    </row>
    <row r="31" spans="1:20" x14ac:dyDescent="0.3">
      <c r="A31" s="4" t="s">
        <v>21</v>
      </c>
      <c r="B31" s="4" t="s">
        <v>104</v>
      </c>
      <c r="C31" s="4" t="s">
        <v>105</v>
      </c>
      <c r="D31" s="4" t="s">
        <v>37</v>
      </c>
      <c r="E31" s="4" t="s">
        <v>106</v>
      </c>
      <c r="F31" s="4" t="s">
        <v>22</v>
      </c>
      <c r="G31" s="5">
        <v>508330</v>
      </c>
      <c r="H31" s="5">
        <v>15</v>
      </c>
      <c r="I31" s="5">
        <v>76249.5</v>
      </c>
      <c r="J31" s="5">
        <v>4779.16</v>
      </c>
      <c r="K31" s="5">
        <v>0</v>
      </c>
      <c r="L31" s="5">
        <v>436859.66</v>
      </c>
      <c r="M31" s="5">
        <v>-513109</v>
      </c>
      <c r="N31" s="5">
        <v>-513109</v>
      </c>
      <c r="O31" s="5">
        <v>-436859.52377646114</v>
      </c>
      <c r="P31" s="5">
        <v>-0.5</v>
      </c>
      <c r="Q31" s="5">
        <v>76250</v>
      </c>
      <c r="R31" s="4" t="s">
        <v>107</v>
      </c>
      <c r="S31" s="6">
        <v>45764.600312499999</v>
      </c>
      <c r="T31" s="4" t="s">
        <v>40</v>
      </c>
    </row>
    <row r="32" spans="1:20" x14ac:dyDescent="0.3">
      <c r="A32" s="4" t="s">
        <v>21</v>
      </c>
      <c r="B32" s="4" t="s">
        <v>48</v>
      </c>
      <c r="C32" s="4" t="s">
        <v>108</v>
      </c>
      <c r="D32" s="4" t="s">
        <v>47</v>
      </c>
      <c r="E32" s="4" t="s">
        <v>49</v>
      </c>
      <c r="F32" s="4" t="s">
        <v>22</v>
      </c>
      <c r="G32" s="5">
        <v>147227</v>
      </c>
      <c r="H32" s="5">
        <v>15</v>
      </c>
      <c r="I32" s="5">
        <v>22084.05</v>
      </c>
      <c r="J32" s="5">
        <v>1515.29</v>
      </c>
      <c r="K32" s="5">
        <v>0</v>
      </c>
      <c r="L32" s="5">
        <v>126658.24000000001</v>
      </c>
      <c r="M32" s="5">
        <v>-148742</v>
      </c>
      <c r="N32" s="5">
        <v>-148742</v>
      </c>
      <c r="O32" s="5">
        <v>-126657.99305685022</v>
      </c>
      <c r="P32" s="5">
        <v>0.05</v>
      </c>
      <c r="Q32" s="5">
        <v>22084</v>
      </c>
      <c r="R32" s="4" t="s">
        <v>109</v>
      </c>
      <c r="S32" s="6">
        <v>45765.5239351852</v>
      </c>
      <c r="T32" s="4" t="s">
        <v>40</v>
      </c>
    </row>
    <row r="33" spans="1:20" x14ac:dyDescent="0.3">
      <c r="A33" s="4" t="s">
        <v>21</v>
      </c>
      <c r="B33" s="4" t="s">
        <v>50</v>
      </c>
      <c r="C33" s="4" t="s">
        <v>110</v>
      </c>
      <c r="D33" s="4" t="s">
        <v>47</v>
      </c>
      <c r="E33" s="4" t="s">
        <v>111</v>
      </c>
      <c r="F33" s="4" t="s">
        <v>22</v>
      </c>
      <c r="G33" s="5">
        <v>35000</v>
      </c>
      <c r="H33" s="5">
        <v>15</v>
      </c>
      <c r="I33" s="5">
        <v>5250</v>
      </c>
      <c r="J33" s="5">
        <v>422.5</v>
      </c>
      <c r="K33" s="5">
        <v>0</v>
      </c>
      <c r="L33" s="5">
        <v>30172.5</v>
      </c>
      <c r="M33" s="5">
        <v>-35423</v>
      </c>
      <c r="N33" s="5">
        <v>-35423</v>
      </c>
      <c r="O33" s="5">
        <v>-30172.925894558542</v>
      </c>
      <c r="P33" s="5">
        <v>0</v>
      </c>
      <c r="Q33" s="5">
        <v>5250</v>
      </c>
      <c r="R33" s="4" t="s">
        <v>109</v>
      </c>
      <c r="S33" s="6">
        <v>45765.5245601852</v>
      </c>
      <c r="T33" s="4" t="s">
        <v>40</v>
      </c>
    </row>
    <row r="34" spans="1:20" x14ac:dyDescent="0.3">
      <c r="A34" s="4" t="s">
        <v>21</v>
      </c>
      <c r="B34" s="4" t="s">
        <v>112</v>
      </c>
      <c r="C34" s="4" t="s">
        <v>112</v>
      </c>
      <c r="D34" s="4" t="s">
        <v>113</v>
      </c>
      <c r="E34" s="4" t="s">
        <v>114</v>
      </c>
      <c r="F34" s="4" t="s">
        <v>22</v>
      </c>
      <c r="G34" s="5">
        <v>543413.35</v>
      </c>
      <c r="H34" s="5">
        <v>15</v>
      </c>
      <c r="I34" s="5">
        <v>81512</v>
      </c>
      <c r="J34" s="5">
        <v>4901.95</v>
      </c>
      <c r="K34" s="5">
        <v>0</v>
      </c>
      <c r="L34" s="5">
        <v>466803.3</v>
      </c>
      <c r="M34" s="5">
        <v>-438652</v>
      </c>
      <c r="N34" s="5">
        <v>-438652</v>
      </c>
      <c r="O34" s="5">
        <v>-373442.43567815819</v>
      </c>
      <c r="P34" s="5">
        <v>16302.39</v>
      </c>
      <c r="Q34" s="5">
        <v>65209.61</v>
      </c>
      <c r="R34" s="4" t="s">
        <v>115</v>
      </c>
      <c r="S34" s="6">
        <v>45789.573194444398</v>
      </c>
      <c r="T34" s="4" t="s">
        <v>24</v>
      </c>
    </row>
    <row r="35" spans="1:20" x14ac:dyDescent="0.3">
      <c r="A35" s="4" t="s">
        <v>21</v>
      </c>
      <c r="B35" s="4" t="s">
        <v>116</v>
      </c>
      <c r="C35" s="4" t="s">
        <v>116</v>
      </c>
      <c r="D35" s="4" t="s">
        <v>113</v>
      </c>
      <c r="E35" s="4" t="s">
        <v>117</v>
      </c>
      <c r="F35" s="4" t="s">
        <v>22</v>
      </c>
      <c r="G35" s="5">
        <v>550687.05000000005</v>
      </c>
      <c r="H35" s="5">
        <v>15</v>
      </c>
      <c r="I35" s="5">
        <v>82603.06</v>
      </c>
      <c r="J35" s="5">
        <v>4927.3999999999996</v>
      </c>
      <c r="K35" s="5">
        <v>0</v>
      </c>
      <c r="L35" s="5">
        <v>473011.39</v>
      </c>
      <c r="M35" s="5">
        <v>-444491</v>
      </c>
      <c r="N35" s="5">
        <v>-444491</v>
      </c>
      <c r="O35" s="5">
        <v>-378408.63525505865</v>
      </c>
      <c r="P35" s="5">
        <v>16520.689999999999</v>
      </c>
      <c r="Q35" s="5">
        <v>66082.37</v>
      </c>
      <c r="R35" s="4" t="s">
        <v>115</v>
      </c>
      <c r="S35" s="6">
        <v>45789.573622685202</v>
      </c>
      <c r="T35" s="4" t="s">
        <v>24</v>
      </c>
    </row>
    <row r="36" spans="1:20" x14ac:dyDescent="0.3">
      <c r="A36" s="4" t="s">
        <v>21</v>
      </c>
      <c r="B36" s="4" t="s">
        <v>118</v>
      </c>
      <c r="C36" s="4" t="s">
        <v>118</v>
      </c>
      <c r="D36" s="4" t="s">
        <v>119</v>
      </c>
      <c r="E36" s="4" t="s">
        <v>120</v>
      </c>
      <c r="F36" s="4" t="s">
        <v>22</v>
      </c>
      <c r="G36" s="5">
        <v>517789.83</v>
      </c>
      <c r="H36" s="5">
        <v>15</v>
      </c>
      <c r="I36" s="5">
        <v>77668.47</v>
      </c>
      <c r="J36" s="5">
        <v>4812.26</v>
      </c>
      <c r="K36" s="5">
        <v>0</v>
      </c>
      <c r="L36" s="5">
        <v>444933.62</v>
      </c>
      <c r="M36" s="5">
        <v>-418082</v>
      </c>
      <c r="N36" s="5">
        <v>-418082</v>
      </c>
      <c r="O36" s="5">
        <v>-355947.17525304959</v>
      </c>
      <c r="P36" s="5">
        <v>15534.1</v>
      </c>
      <c r="Q36" s="5">
        <v>62134.37</v>
      </c>
      <c r="R36" s="4" t="s">
        <v>115</v>
      </c>
      <c r="S36" s="6">
        <v>45797.396967592598</v>
      </c>
      <c r="T36" s="4" t="s">
        <v>24</v>
      </c>
    </row>
    <row r="37" spans="1:20" x14ac:dyDescent="0.3">
      <c r="A37" s="4" t="s">
        <v>21</v>
      </c>
      <c r="B37" s="4" t="s">
        <v>121</v>
      </c>
      <c r="C37" s="4" t="s">
        <v>122</v>
      </c>
      <c r="D37" s="4" t="s">
        <v>102</v>
      </c>
      <c r="E37" s="4" t="s">
        <v>23</v>
      </c>
      <c r="F37" s="4" t="s">
        <v>22</v>
      </c>
      <c r="G37" s="5">
        <v>436796.7</v>
      </c>
      <c r="H37" s="5">
        <v>15</v>
      </c>
      <c r="I37" s="5">
        <v>65519.51</v>
      </c>
      <c r="J37" s="5">
        <v>3528.79</v>
      </c>
      <c r="K37" s="5">
        <v>0</v>
      </c>
      <c r="L37" s="5">
        <v>374805.98</v>
      </c>
      <c r="M37" s="5">
        <v>-440325</v>
      </c>
      <c r="N37" s="5">
        <v>-440325</v>
      </c>
      <c r="O37" s="5">
        <v>-374805.56291097298</v>
      </c>
      <c r="P37" s="5">
        <v>-0.49</v>
      </c>
      <c r="Q37" s="5">
        <v>65520</v>
      </c>
      <c r="R37" s="4" t="s">
        <v>123</v>
      </c>
      <c r="S37" s="6">
        <v>45785.387384259302</v>
      </c>
      <c r="T37" s="4" t="s">
        <v>24</v>
      </c>
    </row>
    <row r="38" spans="1:20" x14ac:dyDescent="0.3">
      <c r="A38" s="4" t="s">
        <v>21</v>
      </c>
      <c r="B38" s="4" t="s">
        <v>124</v>
      </c>
      <c r="C38" s="4" t="s">
        <v>125</v>
      </c>
      <c r="D38" s="4" t="s">
        <v>102</v>
      </c>
      <c r="E38" s="4" t="s">
        <v>23</v>
      </c>
      <c r="F38" s="4" t="s">
        <v>22</v>
      </c>
      <c r="G38" s="5">
        <v>598023.59</v>
      </c>
      <c r="H38" s="5">
        <v>15</v>
      </c>
      <c r="I38" s="5">
        <v>89703.54</v>
      </c>
      <c r="J38" s="5">
        <v>5093.08</v>
      </c>
      <c r="K38" s="5">
        <v>0</v>
      </c>
      <c r="L38" s="5">
        <v>513413.13</v>
      </c>
      <c r="M38" s="5">
        <v>-603117</v>
      </c>
      <c r="N38" s="5">
        <v>-603117</v>
      </c>
      <c r="O38" s="5">
        <v>-513413.41091800696</v>
      </c>
      <c r="P38" s="5">
        <v>-0.46</v>
      </c>
      <c r="Q38" s="5">
        <v>89704</v>
      </c>
      <c r="R38" s="4" t="s">
        <v>126</v>
      </c>
      <c r="S38" s="6">
        <v>45785.387847222199</v>
      </c>
      <c r="T38" s="4" t="s">
        <v>24</v>
      </c>
    </row>
    <row r="39" spans="1:20" x14ac:dyDescent="0.3">
      <c r="A39" s="4" t="s">
        <v>21</v>
      </c>
      <c r="B39" s="4" t="s">
        <v>127</v>
      </c>
      <c r="C39" s="4" t="s">
        <v>128</v>
      </c>
      <c r="D39" s="4" t="s">
        <v>102</v>
      </c>
      <c r="E39" s="4" t="s">
        <v>23</v>
      </c>
      <c r="F39" s="4" t="s">
        <v>22</v>
      </c>
      <c r="G39" s="5">
        <v>757573.2</v>
      </c>
      <c r="H39" s="5">
        <v>15</v>
      </c>
      <c r="I39" s="5">
        <v>113635.98</v>
      </c>
      <c r="J39" s="5">
        <v>5651.51</v>
      </c>
      <c r="K39" s="5">
        <v>0</v>
      </c>
      <c r="L39" s="5">
        <v>649588.73</v>
      </c>
      <c r="M39" s="5">
        <v>-763225</v>
      </c>
      <c r="N39" s="5">
        <v>-763225</v>
      </c>
      <c r="O39" s="5">
        <v>-649588.9768221078</v>
      </c>
      <c r="P39" s="5">
        <v>-0.02</v>
      </c>
      <c r="Q39" s="5">
        <v>113636</v>
      </c>
      <c r="R39" s="4" t="s">
        <v>129</v>
      </c>
      <c r="S39" s="6">
        <v>45785.3882407407</v>
      </c>
      <c r="T39" s="4" t="s">
        <v>24</v>
      </c>
    </row>
    <row r="40" spans="1:20" x14ac:dyDescent="0.3">
      <c r="A40" s="4" t="s">
        <v>21</v>
      </c>
      <c r="B40" s="4" t="s">
        <v>130</v>
      </c>
      <c r="C40" s="4" t="s">
        <v>131</v>
      </c>
      <c r="D40" s="4" t="s">
        <v>102</v>
      </c>
      <c r="E40" s="4" t="s">
        <v>23</v>
      </c>
      <c r="F40" s="4" t="s">
        <v>22</v>
      </c>
      <c r="G40" s="5">
        <v>505925.29</v>
      </c>
      <c r="H40" s="5">
        <v>15</v>
      </c>
      <c r="I40" s="5">
        <v>75888.789999999994</v>
      </c>
      <c r="J40" s="5">
        <v>4770.74</v>
      </c>
      <c r="K40" s="5">
        <v>0</v>
      </c>
      <c r="L40" s="5">
        <v>434807.24</v>
      </c>
      <c r="M40" s="5">
        <v>-510696</v>
      </c>
      <c r="N40" s="5">
        <v>-510696</v>
      </c>
      <c r="O40" s="5">
        <v>-434807.21445796243</v>
      </c>
      <c r="P40" s="5">
        <v>-0.21000000000931299</v>
      </c>
      <c r="Q40" s="5">
        <v>75889</v>
      </c>
      <c r="R40" s="4" t="s">
        <v>132</v>
      </c>
      <c r="S40" s="6">
        <v>45785.388854166697</v>
      </c>
      <c r="T40" s="4" t="s">
        <v>24</v>
      </c>
    </row>
    <row r="41" spans="1:20" x14ac:dyDescent="0.3">
      <c r="A41" s="4" t="s">
        <v>21</v>
      </c>
      <c r="B41" s="4" t="s">
        <v>133</v>
      </c>
      <c r="C41" s="4" t="s">
        <v>134</v>
      </c>
      <c r="D41" s="4" t="s">
        <v>135</v>
      </c>
      <c r="E41" s="8" t="s">
        <v>136</v>
      </c>
      <c r="F41" s="4" t="s">
        <v>22</v>
      </c>
      <c r="G41" s="5">
        <v>115494</v>
      </c>
      <c r="H41" s="5">
        <v>15</v>
      </c>
      <c r="I41" s="5">
        <v>17324.099999999999</v>
      </c>
      <c r="J41" s="5">
        <v>1404.23</v>
      </c>
      <c r="K41" s="5">
        <v>0</v>
      </c>
      <c r="L41" s="5">
        <v>99574.13</v>
      </c>
      <c r="M41" s="5">
        <v>-116898</v>
      </c>
      <c r="N41" s="5">
        <v>-116898</v>
      </c>
      <c r="O41" s="5">
        <v>-99573.934085571702</v>
      </c>
      <c r="P41" s="5">
        <v>17324.169999999998</v>
      </c>
      <c r="Q41" s="5">
        <v>-6.9999999999709003E-2</v>
      </c>
      <c r="R41" s="4" t="s">
        <v>137</v>
      </c>
      <c r="S41" s="6">
        <v>45805.4219212963</v>
      </c>
      <c r="T41" s="4" t="s">
        <v>40</v>
      </c>
    </row>
    <row r="42" spans="1:20" x14ac:dyDescent="0.3">
      <c r="A42" s="4" t="s">
        <v>21</v>
      </c>
      <c r="B42" s="4" t="s">
        <v>138</v>
      </c>
      <c r="C42" s="4" t="s">
        <v>138</v>
      </c>
      <c r="D42" s="4" t="s">
        <v>139</v>
      </c>
      <c r="E42" s="4" t="s">
        <v>140</v>
      </c>
      <c r="F42" s="4" t="s">
        <v>22</v>
      </c>
      <c r="G42" s="5">
        <v>519688</v>
      </c>
      <c r="H42" s="5">
        <v>15</v>
      </c>
      <c r="I42" s="5">
        <v>77953.2</v>
      </c>
      <c r="J42" s="5">
        <v>4818.91</v>
      </c>
      <c r="K42" s="5">
        <v>0</v>
      </c>
      <c r="L42" s="5">
        <v>446553.71</v>
      </c>
      <c r="M42" s="5">
        <v>-524507</v>
      </c>
      <c r="N42" s="5">
        <v>-524507</v>
      </c>
      <c r="O42" s="5">
        <v>-446553.78662403132</v>
      </c>
      <c r="P42" s="5">
        <v>77953.41</v>
      </c>
      <c r="Q42" s="5">
        <v>-0.21000000000640301</v>
      </c>
      <c r="R42" s="4" t="s">
        <v>141</v>
      </c>
      <c r="S42" s="6">
        <v>45827.413680555597</v>
      </c>
      <c r="T42" s="4" t="s">
        <v>24</v>
      </c>
    </row>
    <row r="43" spans="1:20" x14ac:dyDescent="0.3">
      <c r="A43" s="4" t="s">
        <v>21</v>
      </c>
      <c r="B43" s="4" t="s">
        <v>142</v>
      </c>
      <c r="C43" s="4" t="s">
        <v>142</v>
      </c>
      <c r="D43" s="4" t="s">
        <v>143</v>
      </c>
      <c r="E43" s="4" t="s">
        <v>144</v>
      </c>
      <c r="F43" s="4" t="s">
        <v>22</v>
      </c>
      <c r="G43" s="5">
        <v>1380224</v>
      </c>
      <c r="H43" s="5">
        <v>15</v>
      </c>
      <c r="I43" s="5">
        <v>207033.60000000001</v>
      </c>
      <c r="J43" s="5">
        <v>8830.7800000000007</v>
      </c>
      <c r="K43" s="5">
        <v>0</v>
      </c>
      <c r="L43" s="5">
        <v>1182021.18</v>
      </c>
      <c r="M43" s="5">
        <v>-1389055</v>
      </c>
      <c r="N43" s="5">
        <v>-1389055</v>
      </c>
      <c r="O43" s="5">
        <v>-1182021.3672097942</v>
      </c>
      <c r="P43" s="5">
        <v>-0.4</v>
      </c>
      <c r="Q43" s="5">
        <v>207034</v>
      </c>
      <c r="R43" s="4" t="s">
        <v>145</v>
      </c>
      <c r="S43" s="6">
        <v>45831.488460648201</v>
      </c>
      <c r="T43" s="4" t="s">
        <v>40</v>
      </c>
    </row>
    <row r="44" spans="1:20" x14ac:dyDescent="0.3">
      <c r="A44" s="4" t="s">
        <v>21</v>
      </c>
      <c r="B44" s="4" t="s">
        <v>146</v>
      </c>
      <c r="C44" s="4" t="s">
        <v>146</v>
      </c>
      <c r="D44" s="4" t="s">
        <v>33</v>
      </c>
      <c r="E44" s="4" t="s">
        <v>147</v>
      </c>
      <c r="F44" s="4" t="s">
        <v>22</v>
      </c>
      <c r="G44" s="5">
        <v>10628500</v>
      </c>
      <c r="H44" s="5">
        <v>15</v>
      </c>
      <c r="I44" s="5">
        <v>1594275</v>
      </c>
      <c r="J44" s="5">
        <v>47199.75</v>
      </c>
      <c r="K44" s="5">
        <v>0</v>
      </c>
      <c r="L44" s="5">
        <v>9081424.75</v>
      </c>
      <c r="M44" s="5">
        <v>-10675700</v>
      </c>
      <c r="N44" s="5">
        <v>-10675700</v>
      </c>
      <c r="O44" s="5">
        <v>-9081424.9626657963</v>
      </c>
      <c r="P44" s="5">
        <v>0</v>
      </c>
      <c r="Q44" s="5">
        <v>1594275</v>
      </c>
      <c r="R44" s="4" t="s">
        <v>148</v>
      </c>
      <c r="S44" s="6">
        <v>45831.488692129598</v>
      </c>
      <c r="T44" s="4" t="s">
        <v>24</v>
      </c>
    </row>
    <row r="45" spans="1:20" ht="15" thickBot="1" x14ac:dyDescent="0.35">
      <c r="A45" s="4" t="s">
        <v>23</v>
      </c>
      <c r="B45" s="4"/>
      <c r="C45" s="4"/>
      <c r="D45" s="4"/>
      <c r="E45" s="4"/>
      <c r="F45" s="4"/>
      <c r="G45" s="5"/>
      <c r="H45" s="5"/>
      <c r="I45" s="5"/>
      <c r="J45" s="5"/>
      <c r="K45" s="5"/>
      <c r="L45" s="5"/>
      <c r="M45" s="5"/>
      <c r="N45" s="9">
        <f>SUM(N9:N44)</f>
        <v>-57263361</v>
      </c>
      <c r="O45" s="9">
        <f>SUM(O9:O44)</f>
        <v>-48718960.46864213</v>
      </c>
      <c r="P45" s="5"/>
      <c r="Q45" s="5"/>
      <c r="R45" s="4"/>
      <c r="S45" s="6"/>
      <c r="T45" s="4"/>
    </row>
    <row r="46" spans="1:20" ht="15" thickTop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In Progress</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799917-6F6D-454F-AFD9-9C4354F884EA}"/>
</file>

<file path=customXml/itemProps2.xml><?xml version="1.0" encoding="utf-8"?>
<ds:datastoreItem xmlns:ds="http://schemas.openxmlformats.org/officeDocument/2006/customXml" ds:itemID="{12D1848C-BEE6-40D1-A539-2A6815A32067}">
  <ds:schemaRefs>
    <ds:schemaRef ds:uri="http://schemas.microsoft.com/office/2006/metadata/properties"/>
    <ds:schemaRef ds:uri="http://schemas.microsoft.com/office/infopath/2007/PartnerControls"/>
    <ds:schemaRef ds:uri="ad474b94-ba02-4e88-987e-f92536b7745b"/>
    <ds:schemaRef ds:uri="5aff64d6-7803-4fb3-a6dc-2c7b0357e73e"/>
  </ds:schemaRefs>
</ds:datastoreItem>
</file>

<file path=customXml/itemProps3.xml><?xml version="1.0" encoding="utf-8"?>
<ds:datastoreItem xmlns:ds="http://schemas.openxmlformats.org/officeDocument/2006/customXml" ds:itemID="{C7BAE7AB-32AF-47E0-B422-5910F8F247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Jeremie Vythilingum</dc:creator>
  <cp:lastModifiedBy>Jeremie Vythilingum</cp:lastModifiedBy>
  <dcterms:created xsi:type="dcterms:W3CDTF">2025-08-11T09:47:18Z</dcterms:created>
  <dcterms:modified xsi:type="dcterms:W3CDTF">2025-09-09T10:00:16Z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